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f Mahmud\Desktop\MediCare_Q1_2026\"/>
    </mc:Choice>
  </mc:AlternateContent>
  <xr:revisionPtr revIDLastSave="0" documentId="8_{07BC522C-E33A-415B-9E46-66CFC1D6BF83}" xr6:coauthVersionLast="47" xr6:coauthVersionMax="47" xr10:uidLastSave="{00000000-0000-0000-0000-000000000000}"/>
  <bookViews>
    <workbookView xWindow="-108" yWindow="-108" windowWidth="23256" windowHeight="13176" activeTab="5" xr2:uid="{028D7D76-5DAE-436C-8542-331E55D5B8C4}"/>
  </bookViews>
  <sheets>
    <sheet name="Sales Data" sheetId="1" r:id="rId1"/>
    <sheet name="Employee Data" sheetId="2" r:id="rId2"/>
    <sheet name="Analysis" sheetId="3" r:id="rId3"/>
    <sheet name="Lookup Panel" sheetId="4" r:id="rId4"/>
    <sheet name="HR Report" sheetId="5" r:id="rId5"/>
    <sheet name="Settings" sheetId="6" r:id="rId6"/>
  </sheets>
  <definedNames>
    <definedName name="BonusHigh">Settings!$B$4</definedName>
    <definedName name="BonusLow">Settings!$B$5</definedName>
    <definedName name="DiscountRate">Settings!$B$3</definedName>
    <definedName name="HighSalary">Settings!$B$6</definedName>
    <definedName name="SeniorExp">Settings!$B$7</definedName>
    <definedName name="TaxRate">Settings!$B$2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7" i="3" l="1"/>
  <c r="B19" i="3"/>
  <c r="B18" i="3"/>
  <c r="B17" i="3"/>
  <c r="G2" i="1"/>
  <c r="D2" i="5" a="1"/>
  <c r="D2" i="5" s="1"/>
  <c r="E2" i="5" s="1" a="1"/>
  <c r="E2" i="5" s="1"/>
  <c r="C2" i="5" a="1"/>
  <c r="C2" i="5" s="1"/>
  <c r="B2" i="5" a="1"/>
  <c r="B2" i="5" s="1"/>
  <c r="A2" i="5" a="1"/>
  <c r="A2" i="5" s="1"/>
  <c r="E7" i="4"/>
  <c r="D7" i="4"/>
  <c r="C7" i="4"/>
  <c r="B7" i="4"/>
  <c r="F3" i="4"/>
  <c r="D3" i="4"/>
  <c r="C3" i="4"/>
  <c r="B3" i="4"/>
  <c r="B30" i="3"/>
  <c r="B29" i="3"/>
  <c r="B28" i="3"/>
  <c r="B26" i="3"/>
  <c r="B25" i="3"/>
  <c r="B24" i="3"/>
  <c r="B23" i="3"/>
  <c r="B22" i="3"/>
  <c r="B16" i="3"/>
  <c r="B15" i="3"/>
  <c r="B14" i="3"/>
  <c r="B13" i="3"/>
  <c r="B12" i="3"/>
  <c r="B11" i="3"/>
  <c r="B10" i="3"/>
  <c r="B8" i="3"/>
  <c r="B7" i="3"/>
  <c r="B6" i="3"/>
  <c r="B5" i="3"/>
  <c r="B2" i="3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2" i="2" a="1"/>
  <c r="J2" i="2" s="1"/>
  <c r="H3" i="2"/>
  <c r="H4" i="2"/>
  <c r="H5" i="2"/>
  <c r="H6" i="2"/>
  <c r="H7" i="2"/>
  <c r="H8" i="2"/>
  <c r="H9" i="2"/>
  <c r="H10" i="2"/>
  <c r="H11" i="2"/>
  <c r="H2" i="2"/>
  <c r="G3" i="2"/>
  <c r="I3" i="2" s="1" a="1"/>
  <c r="I3" i="2" s="1"/>
  <c r="G4" i="2"/>
  <c r="I4" i="2" s="1" a="1"/>
  <c r="I4" i="2" s="1"/>
  <c r="G5" i="2"/>
  <c r="I5" i="2" s="1" a="1"/>
  <c r="I5" i="2" s="1"/>
  <c r="G6" i="2"/>
  <c r="I6" i="2" s="1" a="1"/>
  <c r="I6" i="2" s="1"/>
  <c r="G7" i="2"/>
  <c r="I7" i="2" s="1" a="1"/>
  <c r="I7" i="2" s="1"/>
  <c r="G8" i="2"/>
  <c r="I8" i="2" s="1" a="1"/>
  <c r="I8" i="2" s="1"/>
  <c r="G9" i="2"/>
  <c r="I9" i="2" s="1" a="1"/>
  <c r="I9" i="2" s="1"/>
  <c r="G10" i="2"/>
  <c r="I10" i="2" s="1" a="1"/>
  <c r="I10" i="2" s="1"/>
  <c r="G11" i="2"/>
  <c r="I11" i="2" s="1" a="1"/>
  <c r="I11" i="2" s="1"/>
  <c r="G2" i="2"/>
  <c r="I2" i="2" s="1" a="1"/>
  <c r="I2" i="2" s="1"/>
  <c r="L2" i="1"/>
  <c r="L3" i="1"/>
  <c r="L4" i="1"/>
  <c r="L5" i="1"/>
  <c r="L6" i="1"/>
  <c r="L7" i="1"/>
  <c r="L8" i="1"/>
  <c r="L9" i="1"/>
  <c r="L10" i="1"/>
  <c r="L11" i="1"/>
  <c r="K2" i="1"/>
  <c r="K3" i="1"/>
  <c r="K4" i="1"/>
  <c r="K5" i="1"/>
  <c r="K6" i="1"/>
  <c r="K7" i="1"/>
  <c r="K8" i="1"/>
  <c r="K9" i="1"/>
  <c r="K10" i="1"/>
  <c r="K11" i="1"/>
  <c r="H2" i="1"/>
  <c r="B3" i="3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E3" i="4" l="1"/>
  <c r="B31" i="3"/>
  <c r="E11" i="5" a="1"/>
  <c r="E11" i="5" s="1"/>
  <c r="E8" i="5" a="1"/>
  <c r="E8" i="5" s="1"/>
  <c r="E5" i="5" a="1"/>
  <c r="E5" i="5" s="1"/>
  <c r="E10" i="5" a="1"/>
  <c r="E10" i="5" s="1"/>
  <c r="E7" i="5" a="1"/>
  <c r="E7" i="5" s="1"/>
  <c r="E4" i="5" a="1"/>
  <c r="E4" i="5" s="1"/>
  <c r="E9" i="5" a="1"/>
  <c r="E9" i="5" s="1"/>
  <c r="E6" i="5" a="1"/>
  <c r="E6" i="5" s="1"/>
  <c r="E3" i="5" a="1"/>
  <c r="E3" i="5" s="1"/>
  <c r="B33" i="3"/>
  <c r="B34" i="3"/>
  <c r="B32" i="3"/>
  <c r="M8" i="2"/>
  <c r="M6" i="2"/>
  <c r="M11" i="2"/>
  <c r="M5" i="2"/>
  <c r="M10" i="2"/>
  <c r="M4" i="2"/>
  <c r="M7" i="2"/>
  <c r="M9" i="2"/>
  <c r="M3" i="2"/>
  <c r="M2" i="2"/>
  <c r="J7" i="1" a="1"/>
  <c r="J7" i="1" s="1"/>
  <c r="I7" i="1"/>
  <c r="I5" i="1"/>
  <c r="J6" i="1" a="1"/>
  <c r="J6" i="1" s="1"/>
  <c r="J11" i="1" a="1"/>
  <c r="J11" i="1" s="1"/>
  <c r="J5" i="1" a="1"/>
  <c r="J5" i="1" s="1"/>
  <c r="J10" i="1" a="1"/>
  <c r="J10" i="1" s="1"/>
  <c r="J4" i="1" a="1"/>
  <c r="J4" i="1" s="1"/>
  <c r="J9" i="1" a="1"/>
  <c r="J9" i="1" s="1"/>
  <c r="J3" i="1" a="1"/>
  <c r="J3" i="1" s="1"/>
  <c r="I11" i="1"/>
  <c r="J8" i="1" a="1"/>
  <c r="J8" i="1" s="1"/>
  <c r="J2" i="1" a="1"/>
  <c r="J2" i="1" s="1"/>
  <c r="I6" i="1"/>
  <c r="I10" i="1"/>
  <c r="I4" i="1"/>
  <c r="I9" i="1"/>
  <c r="I3" i="1"/>
  <c r="I8" i="1"/>
  <c r="I2" i="1"/>
  <c r="B4" i="3" s="1"/>
  <c r="K15" i="2" l="1"/>
  <c r="B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<sst xmlns="http://schemas.openxmlformats.org/spreadsheetml/2006/main" count="146" uniqueCount="123">
  <si>
    <t>Setting</t>
  </si>
  <si>
    <t>Value</t>
  </si>
  <si>
    <t>Tax Rate</t>
  </si>
  <si>
    <t>Discount Rate</t>
  </si>
  <si>
    <t>Bonus Rate High</t>
  </si>
  <si>
    <t>Bonus Rate low</t>
  </si>
  <si>
    <t xml:space="preserve">High Salary </t>
  </si>
  <si>
    <t>Senior Experience</t>
  </si>
  <si>
    <t>Order ID</t>
  </si>
  <si>
    <t>Medicine</t>
  </si>
  <si>
    <t>Category</t>
  </si>
  <si>
    <t>Units Sold</t>
  </si>
  <si>
    <t>Unit Price</t>
  </si>
  <si>
    <t>Order Date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</si>
  <si>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</si>
  <si>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</si>
  <si>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</si>
  <si>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</si>
  <si>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</si>
  <si>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</si>
  <si>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</si>
  <si>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</si>
  <si>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</si>
  <si>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</si>
  <si>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Paracetamol</t>
  </si>
  <si>
    <t>Amoxicillin</t>
  </si>
  <si>
    <t>Metformin</t>
  </si>
  <si>
    <t>Lisinopril</t>
  </si>
  <si>
    <t>Azithromycin</t>
  </si>
  <si>
    <t>Insulin</t>
  </si>
  <si>
    <t>Atovastatin</t>
  </si>
  <si>
    <t>Ibuprofen</t>
  </si>
  <si>
    <t>Metronidazole</t>
  </si>
  <si>
    <t>Glibenclamide</t>
  </si>
  <si>
    <t>General</t>
  </si>
  <si>
    <t>Antibiotic</t>
  </si>
  <si>
    <t>Diabetes</t>
  </si>
  <si>
    <t>Cardiology</t>
  </si>
  <si>
    <t>ID</t>
  </si>
  <si>
    <t>Name</t>
  </si>
  <si>
    <t>Department</t>
  </si>
  <si>
    <t>Salary</t>
  </si>
  <si>
    <t>Join Date</t>
  </si>
  <si>
    <t>Birth Date</t>
  </si>
  <si>
    <t>E001</t>
  </si>
  <si>
    <t>Rahim</t>
  </si>
  <si>
    <t>Sales</t>
  </si>
  <si>
    <t>E002</t>
  </si>
  <si>
    <t>Fatima</t>
  </si>
  <si>
    <t>HR</t>
  </si>
  <si>
    <t>E003</t>
  </si>
  <si>
    <t>Karim</t>
  </si>
  <si>
    <t>IT</t>
  </si>
  <si>
    <t>E004</t>
  </si>
  <si>
    <t>Nadia</t>
  </si>
  <si>
    <t>E005</t>
  </si>
  <si>
    <t>Sajib</t>
  </si>
  <si>
    <t>Production</t>
  </si>
  <si>
    <t>E006</t>
  </si>
  <si>
    <t>Mitu</t>
  </si>
  <si>
    <t>E007</t>
  </si>
  <si>
    <t>Rafi</t>
  </si>
  <si>
    <t>E008</t>
  </si>
  <si>
    <t>Sonia</t>
  </si>
  <si>
    <t>E009</t>
  </si>
  <si>
    <t>Hasan</t>
  </si>
  <si>
    <t>E010</t>
  </si>
  <si>
    <t>Tania</t>
  </si>
  <si>
    <t>Total Revenue</t>
  </si>
  <si>
    <t>Tax Amount</t>
  </si>
  <si>
    <t>Discounted Revenue</t>
  </si>
  <si>
    <t>Revenue Category</t>
  </si>
  <si>
    <t>Month</t>
  </si>
  <si>
    <t>Quarter</t>
  </si>
  <si>
    <t>Tenture(Year)</t>
  </si>
  <si>
    <t>Age</t>
  </si>
  <si>
    <t>Experience Level</t>
  </si>
  <si>
    <t>Salary Grade</t>
  </si>
  <si>
    <t>Bonus Amount</t>
  </si>
  <si>
    <t>Full Name &amp; Dept.</t>
  </si>
  <si>
    <t>Status</t>
  </si>
  <si>
    <t>Sales Analysis</t>
  </si>
  <si>
    <t>Total Tax Collected</t>
  </si>
  <si>
    <t>Total Discounted Revenue</t>
  </si>
  <si>
    <t>Average Order Revenue</t>
  </si>
  <si>
    <t>Highest Order Revenue</t>
  </si>
  <si>
    <t>Lowest Order Revenue</t>
  </si>
  <si>
    <t>Total Orders</t>
  </si>
  <si>
    <t>High Revenue Orders</t>
  </si>
  <si>
    <t>January Revenue</t>
  </si>
  <si>
    <t>February Revenue</t>
  </si>
  <si>
    <t>March Revenue</t>
  </si>
  <si>
    <t>General Category Total</t>
  </si>
  <si>
    <t>Antibiotic Category Total</t>
  </si>
  <si>
    <t>Diabetes Category Total</t>
  </si>
  <si>
    <t>Cardiology Category Total</t>
  </si>
  <si>
    <t>EMPLOYEE ANALYSIS</t>
  </si>
  <si>
    <t>Total Employees</t>
  </si>
  <si>
    <t>Total Salary Budget</t>
  </si>
  <si>
    <t>Average Salary</t>
  </si>
  <si>
    <t>Highest Salary</t>
  </si>
  <si>
    <t>Lowest Salary</t>
  </si>
  <si>
    <t>Total Bonus Budget</t>
  </si>
  <si>
    <t>IT Dept Avg Salary</t>
  </si>
  <si>
    <t>HR Dept Avg Salary</t>
  </si>
  <si>
    <t>Production Dept Avg Salary</t>
  </si>
  <si>
    <t>Senior Staff Count</t>
  </si>
  <si>
    <t>Junior Staff Count</t>
  </si>
  <si>
    <t>Avg Employee Age</t>
  </si>
  <si>
    <t>Avg Employee Tenture</t>
  </si>
  <si>
    <t>Search ID</t>
  </si>
  <si>
    <t>Experience</t>
  </si>
  <si>
    <t>Bonus</t>
  </si>
  <si>
    <t>Employee LookUp</t>
  </si>
  <si>
    <t>Medicine LookUp</t>
  </si>
  <si>
    <t>Medicne</t>
  </si>
  <si>
    <t>Years Worked</t>
  </si>
  <si>
    <t>Age Group</t>
  </si>
  <si>
    <t>Upper Name</t>
  </si>
  <si>
    <t xml:space="preserve">Age </t>
  </si>
  <si>
    <t>Antibiotic Revenue</t>
  </si>
  <si>
    <t>Diabetes Revenue</t>
  </si>
  <si>
    <t>Cardiology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</si>
</sst>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14" fontId="0" fillId="0" borderId="0" xfId="0" applyNumberFormat="1"/>
    <xf numFmtId="44" fontId="2" fillId="2" borderId="0" xfId="1" applyFont="1" applyFill="1"/>
    <xf numFmtId="44" fontId="0" fillId="0" borderId="0" xfId="1" applyFont="1"/>
    <xf numFmtId="0" fontId="2" fillId="3" borderId="0" xfId="0" applyFont="1" applyFill="1"/>
    <xf numFmtId="164" fontId="2" fillId="3" borderId="0" xfId="1" applyNumberFormat="1" applyFont="1" applyFill="1"/>
    <xf numFmtId="164" fontId="0" fillId="0" borderId="0" xfId="1" applyNumberFormat="1" applyFont="1"/>
    <xf numFmtId="44" fontId="0" fillId="0" borderId="0" xfId="0" applyNumberFormat="1"/>
    <xf numFmtId="0" fontId="2" fillId="2" borderId="0" xfId="1" applyNumberFormat="1" applyFont="1" applyFill="1"/>
    <xf numFmtId="0" fontId="0" fillId="0" borderId="0" xfId="0" applyNumberFormat="1"/>
    <xf numFmtId="0" fontId="3" fillId="4" borderId="0" xfId="0" applyFont="1" applyFill="1"/>
    <xf numFmtId="164" fontId="0" fillId="0" borderId="0" xfId="0" applyNumberFormat="1"/>
    <xf numFmtId="44" fontId="0" fillId="0" borderId="0" xfId="1" applyNumberFormat="1" applyFont="1"/>
    <xf numFmtId="0" fontId="3" fillId="5" borderId="0" xfId="0" applyFont="1" applyFill="1"/>
    <xf numFmtId="0" fontId="0" fillId="6" borderId="0" xfId="0" applyFill="1"/>
    <xf numFmtId="0" fontId="0" fillId="7" borderId="0" xfId="0" applyFill="1"/>
  </cellXfs>
  <cellStyles count="2">
    <cellStyle name="Currency" xfId="1" builtinId="4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numFmt numFmtId="164" formatCode="_(&quot;$&quot;* #,##0_);_(&quot;$&quot;* \(#,##0\);_(&quot;$&quot;* &quot;-&quot;??_);_(@_)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6" tint="-0.499984740745262"/>
        </patternFill>
      </fill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0986554865737941"/>
          <c:y val="1.24378109452736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Analysis!$A$10:$A$12</c:f>
              <c:strCache>
                <c:ptCount val="3"/>
                <c:pt idx="0">
                  <c:v>January Revenue</c:v>
                </c:pt>
                <c:pt idx="1">
                  <c:v>February Revenue</c:v>
                </c:pt>
                <c:pt idx="2">
                  <c:v>March Revenue</c:v>
                </c:pt>
              </c:strCache>
            </c:strRef>
          </c:cat>
          <c:val>
            <c:numRef>
              <c:f>Analysis!$B$10:$B$12</c:f>
              <c:numCache>
                <c:formatCode>_("$"* #,##0.00_);_("$"* \(#,##0.00\);_("$"* "-"??_);_(@_)</c:formatCode>
                <c:ptCount val="3"/>
                <c:pt idx="0">
                  <c:v>20000</c:v>
                </c:pt>
                <c:pt idx="1">
                  <c:v>39300</c:v>
                </c:pt>
                <c:pt idx="2">
                  <c:v>14900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9-44BB-8CD7-D639F92992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45881007"/>
        <c:axId val="945881487"/>
      </c:lineChart>
      <c:catAx>
        <c:axId val="94588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81487"/>
        <c:crosses val="autoZero"/>
        <c:auto val="1"/>
        <c:lblAlgn val="ctr"/>
        <c:lblOffset val="100"/>
        <c:noMultiLvlLbl val="0"/>
      </c:catAx>
      <c:valAx>
        <c:axId val="9458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8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 by</a:t>
            </a:r>
          </a:p>
          <a:p>
            <a:pPr>
              <a:defRPr/>
            </a:pPr>
            <a:r>
              <a:rPr lang="en-US" baseline="0"/>
              <a:t>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Analysis!$A$28:$A$30</c:f>
              <c:strCache>
                <c:ptCount val="3"/>
                <c:pt idx="0">
                  <c:v>IT Dept Avg Salary</c:v>
                </c:pt>
                <c:pt idx="1">
                  <c:v>HR Dept Avg Salary</c:v>
                </c:pt>
                <c:pt idx="2">
                  <c:v>Production Dept Avg Salary</c:v>
                </c:pt>
              </c:strCache>
            </c:strRef>
          </c:cat>
          <c:val>
            <c:numRef>
              <c:f>Analysis!$B$28:$B$30</c:f>
              <c:numCache>
                <c:formatCode>_("$"* #,##0.00_);_("$"* \(#,##0.00\);_("$"* "-"??_);_(@_)</c:formatCode>
                <c:ptCount val="3"/>
                <c:pt idx="0">
                  <c:v>88333.333333333328</c:v>
                </c:pt>
                <c:pt idx="1">
                  <c:v>70000</c:v>
                </c:pt>
                <c:pt idx="2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A-4D20-BD93-66E5B77202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0420783"/>
        <c:axId val="950419823"/>
      </c:barChart>
      <c:catAx>
        <c:axId val="95042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19823"/>
        <c:crosses val="autoZero"/>
        <c:auto val="1"/>
        <c:lblAlgn val="ctr"/>
        <c:lblOffset val="100"/>
        <c:noMultiLvlLbl val="0"/>
      </c:catAx>
      <c:valAx>
        <c:axId val="9504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2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Medicine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Analysis!$A$17:$A$19</c:f>
              <c:strCache>
                <c:ptCount val="3"/>
                <c:pt idx="0">
                  <c:v>Antibiotic Revenue</c:v>
                </c:pt>
                <c:pt idx="1">
                  <c:v>Diabetes Revenue</c:v>
                </c:pt>
                <c:pt idx="2">
                  <c:v>Cardiology Revenue</c:v>
                </c:pt>
              </c:strCache>
            </c:strRef>
          </c:cat>
          <c:val>
            <c:numRef>
              <c:f>Analysis!$B$17:$B$19</c:f>
              <c:numCache>
                <c:formatCode>_("$"* #,##0_);_("$"* \(#,##0\);_("$"* "-"??_);_(@_)</c:formatCode>
                <c:ptCount val="3"/>
                <c:pt idx="0">
                  <c:v>19400</c:v>
                </c:pt>
                <c:pt idx="1">
                  <c:v>25800</c:v>
                </c:pt>
                <c:pt idx="2">
                  <c:v>19800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1-4861-B327-C50ACAFFC5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13761167"/>
        <c:axId val="1413761647"/>
        <c:axId val="0"/>
      </c:bar3DChart>
      <c:catAx>
        <c:axId val="141376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61647"/>
        <c:crosses val="autoZero"/>
        <c:auto val="1"/>
        <c:lblAlgn val="ctr"/>
        <c:lblOffset val="100"/>
        <c:noMultiLvlLbl val="0"/>
      </c:catAx>
      <c:valAx>
        <c:axId val="14137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76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0</xdr:row>
      <xdr:rowOff>137160</xdr:rowOff>
    </xdr:from>
    <xdr:to>
      <xdr:col>8</xdr:col>
      <xdr:colOff>83820</xdr:colOff>
      <xdr:row>11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883FB-F296-6116-5CB4-D9858FFB0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12</xdr:row>
      <xdr:rowOff>53340</xdr:rowOff>
    </xdr:from>
    <xdr:to>
      <xdr:col>8</xdr:col>
      <xdr:colOff>114300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1549B6-80AD-C548-799E-4F5786F31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25</xdr:row>
      <xdr:rowOff>7620</xdr:rowOff>
    </xdr:from>
    <xdr:to>
      <xdr:col>8</xdr:col>
      <xdr:colOff>160020</xdr:colOff>
      <xdr:row>35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ECF52-A8F5-A6C1-48F7-AC69FE14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ECF7A-511A-421D-A547-6D40EAFE186E}" name="SalesTable" displayName="SalesTable" ref="A1:L11" totalsRowShown="0" headerRowDxfId="21" headerRowCellStyle="Currency">
  <autoFilter ref="A1:L11" xr:uid="{83EECF7A-511A-421D-A547-6D40EAFE186E}"/>
  <tableColumns count="12">
    <tableColumn id="1" xr3:uid="{DACA01D3-FB09-4C7A-88B5-0F88B2358647}" name="Order ID"/>
    <tableColumn id="2" xr3:uid="{483656F3-52B9-484E-B9BD-1F061B3D274E}" name="Medicine"/>
    <tableColumn id="3" xr3:uid="{DC6B8FE1-E69F-4013-B6DD-216090E8DA48}" name="Category"/>
    <tableColumn id="4" xr3:uid="{08F12D24-8833-430A-8088-D6E691FDD578}" name="Units Sold"/>
    <tableColumn id="5" xr3:uid="{77805191-D910-4D93-A3CF-3912AD944828}" name="Unit Price" dataDxfId="20" dataCellStyle="Currency"/>
    <tableColumn id="6" xr3:uid="{6A754843-669B-42D7-BB4E-57B8AFB23A56}" name="Order Date" dataDxfId="19"/>
    <tableColumn id="7" xr3:uid="{80CD7203-06E7-4C73-AC07-5595596C7787}" name="Total Revenue" dataDxfId="18">
      <calculatedColumnFormula>SalesTable[[#This Row],[Units Sold]]*SalesTable[[#This Row],[Unit Price]]</calculatedColumnFormula>
    </tableColumn>
    <tableColumn id="8" xr3:uid="{3B4CD529-61A9-456F-8F3E-5D86F94C20EF}" name="Tax Amount" dataDxfId="17">
      <calculatedColumnFormula>SalesTable[[#This Row],[Total Revenue]]*TaxRate</calculatedColumnFormula>
    </tableColumn>
    <tableColumn id="9" xr3:uid="{85E70E96-64B0-4FF3-9360-8DC8936B30A4}" name="Discounted Revenue" dataDxfId="16">
      <calculatedColumnFormula>SalesTable[[#This Row],[Total Revenue]]*(1-DiscountRate)</calculatedColumnFormula>
    </tableColumn>
    <tableColumn id="10" xr3:uid="{0CF6CD52-962E-4D37-9CCF-A32FE79344D4}" name="Revenue Category" dataDxfId="15">
      <calculatedColumnFormula array="1">_xlfn.IFS(SalesTable[[#This Row],[Total Revenue]]&gt;=15000,"High",SalesTable[[#This Row],[Total Revenue]]&gt;=8000,"Medium",SalesTable[[#This Row],[Total Revenue]]&gt;=3000,"Low")</calculatedColumnFormula>
    </tableColumn>
    <tableColumn id="11" xr3:uid="{B9C3BE30-3FFB-4DEE-A5AD-29E98FA928C9}" name="Month" dataDxfId="14">
      <calculatedColumnFormula>MONTH(SalesTable[[#This Row],[Order Date]])</calculatedColumnFormula>
    </tableColumn>
    <tableColumn id="12" xr3:uid="{944946E3-B3B1-418E-93DD-E0E75CD982B3}" name="Quarter" dataDxfId="13">
      <calculatedColumnFormula>IF(SalesTable[[#This Row],[Month]]&lt;=3,"Q1",IF(SalesTable[[#This Row],[Month]]&lt;=6,"Q2",IF(SalesTable[[#This Row],[Month]]&lt;=9,"Q3","Q4")))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F1C4D1-9241-49A1-AB8A-E1BCFC180DFB}" name="EmpTable" displayName="EmpTable" ref="A1:M11" totalsRowShown="0" headerRowDxfId="12">
  <autoFilter ref="A1:M11" xr:uid="{FBF1C4D1-9241-49A1-AB8A-E1BCFC180DFB}"/>
  <tableColumns count="13">
    <tableColumn id="1" xr3:uid="{2AFAAA17-F4AC-4C33-B817-89DE4DA725E8}" name="ID"/>
    <tableColumn id="2" xr3:uid="{7F19E6EB-43BB-4814-B62F-8B496FD0AFF6}" name="Name"/>
    <tableColumn id="3" xr3:uid="{56722A77-79CD-4F69-AF26-3FA7B7191D91}" name="Department"/>
    <tableColumn id="4" xr3:uid="{B57A05E1-8721-428B-8E58-3F3AFB68218D}" name="Salary" dataDxfId="11" dataCellStyle="Currency"/>
    <tableColumn id="5" xr3:uid="{41CBE196-EA45-4AB0-8FBA-C17000FD9914}" name="Join Date" dataDxfId="10"/>
    <tableColumn id="6" xr3:uid="{0E50D5FA-147A-417C-977E-7E8F327E827F}" name="Birth Date" dataDxfId="9"/>
    <tableColumn id="7" xr3:uid="{43989320-2310-4402-845E-784E3623CB3E}" name="Tenture(Year)">
      <calculatedColumnFormula>DATEDIF(E2,TODAY(),"Y")</calculatedColumnFormula>
    </tableColumn>
    <tableColumn id="8" xr3:uid="{E9DC8D0D-8970-4FFE-B8F9-DC1DDAAB4E7C}" name="Age">
      <calculatedColumnFormula>DATEDIF(F2,TODAY(),"Y")</calculatedColumnFormula>
    </tableColumn>
    <tableColumn id="9" xr3:uid="{D47DC0FA-F999-4314-8A7B-10F0FF08D760}" name="Experience Level">
      <calculatedColumnFormula array="1">_xlfn.IFS(G2&gt;=8,"Veteran",G2&gt;=5,"Senior",G2&gt;=3,"Mid level",G2&lt;3,"Junior")</calculatedColumnFormula>
    </tableColumn>
    <tableColumn id="10" xr3:uid="{CC32D07B-D1D3-4E9E-A17E-0766B911E57B}" name="Salary Grade">
      <calculatedColumnFormula array="1">_xlfn.IFS(D2&gt;=85000,"A",D2&gt;=70000,"B",D2&gt;=60000,"C",D2&lt;60000,"D")</calculatedColumnFormula>
    </tableColumn>
    <tableColumn id="11" xr3:uid="{EA19B19D-CCDF-4A86-A8F3-6A667A0C3483}" name="Bonus Amount" dataDxfId="8" dataCellStyle="Currency">
      <calculatedColumnFormula>IF(D2&gt;=HighSalary,D2*BonusHigh,D2*BonusLow)</calculatedColumnFormula>
    </tableColumn>
    <tableColumn id="12" xr3:uid="{53606680-6DA3-476C-A31C-E3D1E4B1F633}" name="Full Name &amp; Dept.">
      <calculatedColumnFormula>_xlfn.CONCAT(B2,"-",C2)</calculatedColumnFormula>
    </tableColumn>
    <tableColumn id="13" xr3:uid="{8A3F640E-30BE-4F71-91E1-76D4F0008015}" name="Status">
      <calculatedColumnFormula>IF(G2&gt;=SeniorExp,"Active Senior","Active Junior")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4A57-93FD-42EC-AB2C-4293DE4CCBD3}">
  <dimension ref="A1:L11"/>
  <sheetViews>
    <sheetView workbookViewId="0">
      <selection activeCell="J5" sqref="J5"/>
    </sheetView>
  </sheetViews>
  <sheetFormatPr defaultRowHeight="14.4" x14ac:dyDescent="0.3"/>
  <cols>
    <col min="1" max="1" width="9.77734375" customWidth="1"/>
    <col min="2" max="2" width="10.5546875" customWidth="1"/>
    <col min="3" max="3" width="10.21875" customWidth="1"/>
    <col min="4" max="4" width="11.33203125" customWidth="1"/>
    <col min="5" max="5" width="12.33203125" style="4" customWidth="1"/>
    <col min="6" max="6" width="11.88671875" customWidth="1"/>
    <col min="7" max="7" width="13" customWidth="1"/>
    <col min="8" max="8" width="12.21875" customWidth="1"/>
    <col min="9" max="9" width="12.88671875" customWidth="1"/>
    <col min="10" max="10" width="19.44140625" bestFit="1" customWidth="1"/>
    <col min="11" max="11" width="8.88671875" style="10"/>
  </cols>
  <sheetData>
    <row r="1" spans="1:12" x14ac:dyDescent="0.3">
      <c r="A1" s="1" t="s">
        <v>8</v>
      </c>
      <c r="B1" s="1" t="s">
        <v>9</v>
      </c>
      <c r="C1" s="1" t="s">
        <v>10</v>
      </c>
      <c r="D1" s="1" t="s">
        <v>11</v>
      </c>
      <c r="E1" s="3" t="s">
        <v>12</v>
      </c>
      <c r="F1" s="1" t="s">
        <v>13</v>
      </c>
      <c r="G1" s="3" t="s">
        <v>68</v>
      </c>
      <c r="H1" s="3" t="s">
        <v>69</v>
      </c>
      <c r="I1" s="3" t="s">
        <v>70</v>
      </c>
      <c r="J1" s="3" t="s">
        <v>71</v>
      </c>
      <c r="K1" s="9" t="s">
        <v>72</v>
      </c>
      <c r="L1" s="3" t="s">
        <v>73</v>
      </c>
    </row>
    <row r="2" spans="1:12" x14ac:dyDescent="0.3">
      <c r="A2" t="s">
        <v>14</v>
      </c>
      <c r="B2" t="s">
        <v>24</v>
      </c>
      <c r="C2" t="s">
        <v>34</v>
      </c>
      <c r="D2">
        <v>500</v>
      </c>
      <c r="E2" s="4">
        <v>10</v>
      </c>
      <c r="F2" s="2">
        <v>46027</v>
      </c>
      <c r="G2" s="8">
        <f>SalesTable[[#This Row],[Units Sold]]*SalesTable[[#This Row],[Unit Price]]</f>
        <v>5000</v>
      </c>
      <c r="H2" s="8">
        <f>SalesTable[[#This Row],[Total Revenue]]*TaxRate</f>
        <v>750</v>
      </c>
      <c r="I2" s="8">
        <f>SalesTable[[#This Row],[Total Revenue]]*(1-DiscountRate)</f>
        <v>4600</v>
      </c>
      <c r="J2" s="8" t="str" cm="1">
        <f t="array" ref="J2">_xlfn.IFS(SalesTable[[#This Row],[Total Revenue]]&gt;=15000,"High",SalesTable[[#This Row],[Total Revenue]]&gt;=8000,"Medium",SalesTable[[#This Row],[Total Revenue]]&gt;=3000,"Low")</f>
        <v>Low</v>
      </c>
      <c r="K2" s="10">
        <f>MONTH(SalesTable[[#This Row],[Order Date]])</f>
        <v>1</v>
      </c>
      <c r="L2" s="8" t="str">
        <f>IF(SalesTable[[#This Row],[Month]]&lt;=3,"Q1",IF(SalesTable[[#This Row],[Month]]&lt;=6,"Q2",IF(SalesTable[[#This Row],[Month]]&lt;=9,"Q3","Q4")))</f>
        <v>Q1</v>
      </c>
    </row>
    <row r="3" spans="1:12" x14ac:dyDescent="0.3">
      <c r="A3" t="s">
        <v>15</v>
      </c>
      <c r="B3" t="s">
        <v>25</v>
      </c>
      <c r="C3" t="s">
        <v>35</v>
      </c>
      <c r="D3">
        <v>300</v>
      </c>
      <c r="E3" s="4">
        <v>25</v>
      </c>
      <c r="F3" s="2">
        <v>46034</v>
      </c>
      <c r="G3" s="8">
        <f>SalesTable[[#This Row],[Units Sold]]*SalesTable[[#This Row],[Unit Price]]</f>
        <v>7500</v>
      </c>
      <c r="H3" s="8">
        <f>SalesTable[[#This Row],[Total Revenue]]*TaxRate</f>
        <v>1125</v>
      </c>
      <c r="I3" s="8">
        <f>SalesTable[[#This Row],[Total Revenue]]*(1-DiscountRate)</f>
        <v>6900</v>
      </c>
      <c r="J3" s="8" t="str" cm="1">
        <f t="array" ref="J3">_xlfn.IFS(SalesTable[[#This Row],[Total Revenue]]&gt;=15000,"High",SalesTable[[#This Row],[Total Revenue]]&gt;=8000,"Medium",SalesTable[[#This Row],[Total Revenue]]&gt;=3000,"Low")</f>
        <v>Low</v>
      </c>
      <c r="K3" s="10">
        <f>MONTH(SalesTable[[#This Row],[Order Date]])</f>
        <v>1</v>
      </c>
      <c r="L3" s="8" t="str">
        <f>IF(SalesTable[[#This Row],[Month]]&lt;=3,"Q1",IF(SalesTable[[#This Row],[Month]]&lt;=6,"Q2",IF(SalesTable[[#This Row],[Month]]&lt;=9,"Q3","Q4")))</f>
        <v>Q1</v>
      </c>
    </row>
    <row r="4" spans="1:12" x14ac:dyDescent="0.3">
      <c r="A4" t="s">
        <v>16</v>
      </c>
      <c r="B4" t="s">
        <v>26</v>
      </c>
      <c r="C4" t="s">
        <v>36</v>
      </c>
      <c r="D4">
        <v>250</v>
      </c>
      <c r="E4" s="4">
        <v>30</v>
      </c>
      <c r="F4" s="2">
        <v>46042</v>
      </c>
      <c r="G4" s="8">
        <f>SalesTable[[#This Row],[Units Sold]]*SalesTable[[#This Row],[Unit Price]]</f>
        <v>7500</v>
      </c>
      <c r="H4" s="8">
        <f>SalesTable[[#This Row],[Total Revenue]]*TaxRate</f>
        <v>1125</v>
      </c>
      <c r="I4" s="8">
        <f>SalesTable[[#This Row],[Total Revenue]]*(1-DiscountRate)</f>
        <v>6900</v>
      </c>
      <c r="J4" s="8" t="str" cm="1">
        <f t="array" ref="J4">_xlfn.IFS(SalesTable[[#This Row],[Total Revenue]]&gt;=15000,"High",SalesTable[[#This Row],[Total Revenue]]&gt;=8000,"Medium",SalesTable[[#This Row],[Total Revenue]]&gt;=3000,"Low")</f>
        <v>Low</v>
      </c>
      <c r="K4" s="10">
        <f>MONTH(SalesTable[[#This Row],[Order Date]])</f>
        <v>1</v>
      </c>
      <c r="L4" s="8" t="str">
        <f>IF(SalesTable[[#This Row],[Month]]&lt;=3,"Q1",IF(SalesTable[[#This Row],[Month]]&lt;=6,"Q2",IF(SalesTable[[#This Row],[Month]]&lt;=9,"Q3","Q4")))</f>
        <v>Q1</v>
      </c>
    </row>
    <row r="5" spans="1:12" x14ac:dyDescent="0.3">
      <c r="A5" t="s">
        <v>17</v>
      </c>
      <c r="B5" t="s">
        <v>27</v>
      </c>
      <c r="C5" t="s">
        <v>37</v>
      </c>
      <c r="D5">
        <v>200</v>
      </c>
      <c r="E5" s="4">
        <v>45</v>
      </c>
      <c r="F5" s="2">
        <v>46056</v>
      </c>
      <c r="G5" s="8">
        <f>SalesTable[[#This Row],[Units Sold]]*SalesTable[[#This Row],[Unit Price]]</f>
        <v>9000</v>
      </c>
      <c r="H5" s="8">
        <f>SalesTable[[#This Row],[Total Revenue]]*TaxRate</f>
        <v>1350</v>
      </c>
      <c r="I5" s="8">
        <f>SalesTable[[#This Row],[Total Revenue]]*(1-DiscountRate)</f>
        <v>8280</v>
      </c>
      <c r="J5" s="8" t="str" cm="1">
        <f t="array" ref="J5">_xlfn.IFS(SalesTable[[#This Row],[Total Revenue]]&gt;=15000,"High",SalesTable[[#This Row],[Total Revenue]]&gt;=8000,"Medium",SalesTable[[#This Row],[Total Revenue]]&gt;=3000,"Low")</f>
        <v>Medium</v>
      </c>
      <c r="K5" s="10">
        <f>MONTH(SalesTable[[#This Row],[Order Date]])</f>
        <v>2</v>
      </c>
      <c r="L5" s="8" t="str">
        <f>IF(SalesTable[[#This Row],[Month]]&lt;=3,"Q1",IF(SalesTable[[#This Row],[Month]]&lt;=6,"Q2",IF(SalesTable[[#This Row],[Month]]&lt;=9,"Q3","Q4")))</f>
        <v>Q1</v>
      </c>
    </row>
    <row r="6" spans="1:12" x14ac:dyDescent="0.3">
      <c r="A6" t="s">
        <v>18</v>
      </c>
      <c r="B6" t="s">
        <v>28</v>
      </c>
      <c r="C6" t="s">
        <v>35</v>
      </c>
      <c r="D6">
        <v>150</v>
      </c>
      <c r="E6" s="4">
        <v>50</v>
      </c>
      <c r="F6" s="2">
        <v>46063</v>
      </c>
      <c r="G6" s="8">
        <f>SalesTable[[#This Row],[Units Sold]]*SalesTable[[#This Row],[Unit Price]]</f>
        <v>7500</v>
      </c>
      <c r="H6" s="8">
        <f>SalesTable[[#This Row],[Total Revenue]]*TaxRate</f>
        <v>1125</v>
      </c>
      <c r="I6" s="8">
        <f>SalesTable[[#This Row],[Total Revenue]]*(1-DiscountRate)</f>
        <v>6900</v>
      </c>
      <c r="J6" s="8" t="str" cm="1">
        <f t="array" ref="J6">_xlfn.IFS(SalesTable[[#This Row],[Total Revenue]]&gt;=15000,"High",SalesTable[[#This Row],[Total Revenue]]&gt;=8000,"Medium",SalesTable[[#This Row],[Total Revenue]]&gt;=3000,"Low")</f>
        <v>Low</v>
      </c>
      <c r="K6" s="10">
        <f>MONTH(SalesTable[[#This Row],[Order Date]])</f>
        <v>2</v>
      </c>
      <c r="L6" s="8" t="str">
        <f>IF(SalesTable[[#This Row],[Month]]&lt;=3,"Q1",IF(SalesTable[[#This Row],[Month]]&lt;=6,"Q2",IF(SalesTable[[#This Row],[Month]]&lt;=9,"Q3","Q4")))</f>
        <v>Q1</v>
      </c>
    </row>
    <row r="7" spans="1:12" x14ac:dyDescent="0.3">
      <c r="A7" t="s">
        <v>19</v>
      </c>
      <c r="B7" t="s">
        <v>29</v>
      </c>
      <c r="C7" t="s">
        <v>36</v>
      </c>
      <c r="D7">
        <v>100</v>
      </c>
      <c r="E7" s="4">
        <v>120</v>
      </c>
      <c r="F7" s="2">
        <v>46071</v>
      </c>
      <c r="G7" s="8">
        <f>SalesTable[[#This Row],[Units Sold]]*SalesTable[[#This Row],[Unit Price]]</f>
        <v>12000</v>
      </c>
      <c r="H7" s="8">
        <f>SalesTable[[#This Row],[Total Revenue]]*TaxRate</f>
        <v>1800</v>
      </c>
      <c r="I7" s="8">
        <f>SalesTable[[#This Row],[Total Revenue]]*(1-DiscountRate)</f>
        <v>11040</v>
      </c>
      <c r="J7" s="8" t="str" cm="1">
        <f t="array" ref="J7">_xlfn.IFS(SalesTable[[#This Row],[Total Revenue]]&gt;=15000,"High",SalesTable[[#This Row],[Total Revenue]]&gt;=8000,"Medium",SalesTable[[#This Row],[Total Revenue]]&gt;=3000,"Low")</f>
        <v>Medium</v>
      </c>
      <c r="K7" s="10">
        <f>MONTH(SalesTable[[#This Row],[Order Date]])</f>
        <v>2</v>
      </c>
      <c r="L7" s="8" t="str">
        <f>IF(SalesTable[[#This Row],[Month]]&lt;=3,"Q1",IF(SalesTable[[#This Row],[Month]]&lt;=6,"Q2",IF(SalesTable[[#This Row],[Month]]&lt;=9,"Q3","Q4")))</f>
        <v>Q1</v>
      </c>
    </row>
    <row r="8" spans="1:12" x14ac:dyDescent="0.3">
      <c r="A8" t="s">
        <v>20</v>
      </c>
      <c r="B8" t="s">
        <v>30</v>
      </c>
      <c r="C8" t="s">
        <v>37</v>
      </c>
      <c r="D8">
        <v>180</v>
      </c>
      <c r="E8" s="4">
        <v>60</v>
      </c>
      <c r="F8" s="2">
        <v>46078</v>
      </c>
      <c r="G8" s="8">
        <f>SalesTable[[#This Row],[Units Sold]]*SalesTable[[#This Row],[Unit Price]]</f>
        <v>10800</v>
      </c>
      <c r="H8" s="8">
        <f>SalesTable[[#This Row],[Total Revenue]]*TaxRate</f>
        <v>1620</v>
      </c>
      <c r="I8" s="8">
        <f>SalesTable[[#This Row],[Total Revenue]]*(1-DiscountRate)</f>
        <v>9936</v>
      </c>
      <c r="J8" s="8" t="str" cm="1">
        <f t="array" ref="J8">_xlfn.IFS(SalesTable[[#This Row],[Total Revenue]]&gt;=15000,"High",SalesTable[[#This Row],[Total Revenue]]&gt;=8000,"Medium",SalesTable[[#This Row],[Total Revenue]]&gt;=3000,"Low")</f>
        <v>Medium</v>
      </c>
      <c r="K8" s="10">
        <f>MONTH(SalesTable[[#This Row],[Order Date]])</f>
        <v>2</v>
      </c>
      <c r="L8" s="8" t="str">
        <f>IF(SalesTable[[#This Row],[Month]]&lt;=3,"Q1",IF(SalesTable[[#This Row],[Month]]&lt;=6,"Q2",IF(SalesTable[[#This Row],[Month]]&lt;=9,"Q3","Q4")))</f>
        <v>Q1</v>
      </c>
    </row>
    <row r="9" spans="1:12" x14ac:dyDescent="0.3">
      <c r="A9" t="s">
        <v>21</v>
      </c>
      <c r="B9" t="s">
        <v>31</v>
      </c>
      <c r="C9" t="s">
        <v>34</v>
      </c>
      <c r="D9">
        <v>350</v>
      </c>
      <c r="E9" s="4">
        <v>12</v>
      </c>
      <c r="F9" s="2">
        <v>46086</v>
      </c>
      <c r="G9" s="8">
        <f>SalesTable[[#This Row],[Units Sold]]*SalesTable[[#This Row],[Unit Price]]</f>
        <v>4200</v>
      </c>
      <c r="H9" s="8">
        <f>SalesTable[[#This Row],[Total Revenue]]*TaxRate</f>
        <v>630</v>
      </c>
      <c r="I9" s="8">
        <f>SalesTable[[#This Row],[Total Revenue]]*(1-DiscountRate)</f>
        <v>3864</v>
      </c>
      <c r="J9" s="8" t="str" cm="1">
        <f t="array" ref="J9">_xlfn.IFS(SalesTable[[#This Row],[Total Revenue]]&gt;=15000,"High",SalesTable[[#This Row],[Total Revenue]]&gt;=8000,"Medium",SalesTable[[#This Row],[Total Revenue]]&gt;=3000,"Low")</f>
        <v>Low</v>
      </c>
      <c r="K9" s="10">
        <f>MONTH(SalesTable[[#This Row],[Order Date]])</f>
        <v>3</v>
      </c>
      <c r="L9" s="8" t="str">
        <f>IF(SalesTable[[#This Row],[Month]]&lt;=3,"Q1",IF(SalesTable[[#This Row],[Month]]&lt;=6,"Q2",IF(SalesTable[[#This Row],[Month]]&lt;=9,"Q3","Q4")))</f>
        <v>Q1</v>
      </c>
    </row>
    <row r="10" spans="1:12" x14ac:dyDescent="0.3">
      <c r="A10" t="s">
        <v>22</v>
      </c>
      <c r="B10" t="s">
        <v>32</v>
      </c>
      <c r="C10" t="s">
        <v>35</v>
      </c>
      <c r="D10">
        <v>220</v>
      </c>
      <c r="E10" s="4">
        <v>20</v>
      </c>
      <c r="F10" s="2">
        <v>46096</v>
      </c>
      <c r="G10" s="8">
        <f>SalesTable[[#This Row],[Units Sold]]*SalesTable[[#This Row],[Unit Price]]</f>
        <v>4400</v>
      </c>
      <c r="H10" s="8">
        <f>SalesTable[[#This Row],[Total Revenue]]*TaxRate</f>
        <v>660</v>
      </c>
      <c r="I10" s="8">
        <f>SalesTable[[#This Row],[Total Revenue]]*(1-DiscountRate)</f>
        <v>4048</v>
      </c>
      <c r="J10" s="8" t="str" cm="1">
        <f t="array" ref="J10">_xlfn.IFS(SalesTable[[#This Row],[Total Revenue]]&gt;=15000,"High",SalesTable[[#This Row],[Total Revenue]]&gt;=8000,"Medium",SalesTable[[#This Row],[Total Revenue]]&gt;=3000,"Low")</f>
        <v>Low</v>
      </c>
      <c r="K10" s="10">
        <f>MONTH(SalesTable[[#This Row],[Order Date]])</f>
        <v>3</v>
      </c>
      <c r="L10" s="8" t="str">
        <f>IF(SalesTable[[#This Row],[Month]]&lt;=3,"Q1",IF(SalesTable[[#This Row],[Month]]&lt;=6,"Q2",IF(SalesTable[[#This Row],[Month]]&lt;=9,"Q3","Q4")))</f>
        <v>Q1</v>
      </c>
    </row>
    <row r="11" spans="1:12" x14ac:dyDescent="0.3">
      <c r="A11" t="s">
        <v>23</v>
      </c>
      <c r="B11" t="s">
        <v>33</v>
      </c>
      <c r="C11" t="s">
        <v>36</v>
      </c>
      <c r="D11">
        <v>180</v>
      </c>
      <c r="E11" s="4">
        <v>35</v>
      </c>
      <c r="F11" s="2">
        <v>46106</v>
      </c>
      <c r="G11" s="8">
        <f>SalesTable[[#This Row],[Units Sold]]*SalesTable[[#This Row],[Unit Price]]</f>
        <v>6300</v>
      </c>
      <c r="H11" s="8">
        <f>SalesTable[[#This Row],[Total Revenue]]*TaxRate</f>
        <v>945</v>
      </c>
      <c r="I11" s="8">
        <f>SalesTable[[#This Row],[Total Revenue]]*(1-DiscountRate)</f>
        <v>5796</v>
      </c>
      <c r="J11" s="8" t="str" cm="1">
        <f t="array" ref="J11">_xlfn.IFS(SalesTable[[#This Row],[Total Revenue]]&gt;=15000,"High",SalesTable[[#This Row],[Total Revenue]]&gt;=8000,"Medium",SalesTable[[#This Row],[Total Revenue]]&gt;=3000,"Low")</f>
        <v>Low</v>
      </c>
      <c r="K11" s="10">
        <f>MONTH(SalesTable[[#This Row],[Order Date]])</f>
        <v>3</v>
      </c>
      <c r="L11" s="8" t="str">
        <f>IF(SalesTable[[#This Row],[Month]]&lt;=3,"Q1",IF(SalesTable[[#This Row],[Month]]&lt;=6,"Q2",IF(SalesTable[[#This Row],[Month]]&lt;=9,"Q3","Q4")))</f>
        <v>Q1</v>
      </c>
    </row>
  </sheetData>
  <phoneticPr fontId="4" type="noConversion"/>
  <conditionalFormatting sqref="G2:G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1">
    <cfRule type="containsText" dxfId="7" priority="1" operator="containsText" text="Medium">
      <formula>NOT(ISERROR(SEARCH("Medium",J2)))</formula>
    </cfRule>
    <cfRule type="containsText" dxfId="6" priority="2" operator="containsText" text="Low">
      <formula>NOT(ISERROR(SEARCH("Low",J2)))</formula>
    </cfRule>
    <cfRule type="containsText" dxfId="5" priority="3" operator="containsText" text="High">
      <formula>NOT(ISERROR(SEARCH("High",J2)))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E94C-3B61-4A54-918A-09F5DD8D458E}">
  <dimension ref="A1:M15"/>
  <sheetViews>
    <sheetView workbookViewId="0">
      <selection activeCell="K16" sqref="K16"/>
    </sheetView>
  </sheetViews>
  <sheetFormatPr defaultRowHeight="14.4" x14ac:dyDescent="0.3"/>
  <cols>
    <col min="1" max="1" width="7.5546875" customWidth="1"/>
    <col min="2" max="2" width="11.21875" customWidth="1"/>
    <col min="3" max="3" width="12.88671875" customWidth="1"/>
    <col min="4" max="4" width="11.5546875" style="7" customWidth="1"/>
    <col min="5" max="5" width="10.6640625" customWidth="1"/>
    <col min="6" max="6" width="12.21875" customWidth="1"/>
    <col min="7" max="7" width="14.109375" customWidth="1"/>
    <col min="9" max="9" width="16.77734375" customWidth="1"/>
    <col min="10" max="10" width="13.5546875" customWidth="1"/>
    <col min="11" max="11" width="14.6640625" customWidth="1"/>
    <col min="12" max="12" width="17.77734375" customWidth="1"/>
    <col min="13" max="13" width="11.21875" customWidth="1"/>
  </cols>
  <sheetData>
    <row r="1" spans="1:13" x14ac:dyDescent="0.3">
      <c r="A1" s="5" t="s">
        <v>38</v>
      </c>
      <c r="B1" s="5" t="s">
        <v>39</v>
      </c>
      <c r="C1" s="5" t="s">
        <v>40</v>
      </c>
      <c r="D1" s="6" t="s">
        <v>41</v>
      </c>
      <c r="E1" s="5" t="s">
        <v>42</v>
      </c>
      <c r="F1" s="5" t="s">
        <v>43</v>
      </c>
      <c r="G1" s="5" t="s">
        <v>74</v>
      </c>
      <c r="H1" s="5" t="s">
        <v>75</v>
      </c>
      <c r="I1" s="5" t="s">
        <v>76</v>
      </c>
      <c r="J1" s="5" t="s">
        <v>77</v>
      </c>
      <c r="K1" s="5" t="s">
        <v>78</v>
      </c>
      <c r="L1" s="5" t="s">
        <v>79</v>
      </c>
      <c r="M1" s="5" t="s">
        <v>80</v>
      </c>
    </row>
    <row r="2" spans="1:13" x14ac:dyDescent="0.3">
      <c r="A2" t="s">
        <v>44</v>
      </c>
      <c r="B2" t="s">
        <v>45</v>
      </c>
      <c r="C2" t="s">
        <v>46</v>
      </c>
      <c r="D2" s="7">
        <v>65000</v>
      </c>
      <c r="E2" s="2">
        <v>43539</v>
      </c>
      <c r="F2" s="2">
        <v>32273</v>
      </c>
      <c r="G2">
        <f ca="1">DATEDIF(E2,TODAY(),"Y")</f>
        <v>7</v>
      </c>
      <c r="H2">
        <f ca="1">DATEDIF(F2,TODAY(),"Y")</f>
        <v>37</v>
      </c>
      <c r="I2" t="str" cm="1">
        <f t="array" aca="1" ref="I2" ca="1">_xlfn.IFS(G2&gt;=8,"Veteran",G2&gt;=5,"Senior",G2&gt;=3,"Mid level",G2&lt;3,"Junior")</f>
        <v>Senior</v>
      </c>
      <c r="J2" t="str" cm="1">
        <f t="array" ref="J2">_xlfn.IFS(D2&gt;=85000,"A",D2&gt;=70000,"B",D2&gt;=60000,"C",D2&lt;60000,"D")</f>
        <v>C</v>
      </c>
      <c r="K2" s="7">
        <f t="shared" ref="K2:K11" si="0">IF(D2&gt;=HighSalary,D2*BonusHigh,D2*BonusLow)</f>
        <v>3900</v>
      </c>
      <c r="L2" t="str">
        <f>_xlfn.CONCAT(B2,"-",C2)</f>
        <v>Rahim-Sales</v>
      </c>
      <c r="M2" t="str">
        <f t="shared" ref="M2:M11" ca="1" si="1">IF(G2&gt;=SeniorExp,"Active Senior","Active Junior")</f>
        <v>Active Senior</v>
      </c>
    </row>
    <row r="3" spans="1:13" x14ac:dyDescent="0.3">
      <c r="A3" t="s">
        <v>47</v>
      </c>
      <c r="B3" t="s">
        <v>48</v>
      </c>
      <c r="C3" t="s">
        <v>49</v>
      </c>
      <c r="D3" s="7">
        <v>72000</v>
      </c>
      <c r="E3" s="2">
        <v>43271</v>
      </c>
      <c r="F3" s="2">
        <v>31281</v>
      </c>
      <c r="G3">
        <f t="shared" ref="G3:G11" ca="1" si="2">DATEDIF(E3,TODAY(),"Y")</f>
        <v>7</v>
      </c>
      <c r="H3">
        <f t="shared" ref="H3:H11" ca="1" si="3">DATEDIF(F3,TODAY(),"Y")</f>
        <v>40</v>
      </c>
      <c r="I3" t="str" cm="1">
        <f t="array" aca="1" ref="I3" ca="1">_xlfn.IFS(G3&gt;=8,"Veteran",G3&gt;=5,"Senior",G3&gt;=3,"Mid level",G3&lt;3,"Junior")</f>
        <v>Senior</v>
      </c>
      <c r="J3" t="str" cm="1">
        <f t="array" ref="J3">_xlfn.IFS(D3&gt;=85000,"A",D3&gt;=70000,"B",D3&gt;=60000,"C",D3&lt;60000,"D")</f>
        <v>B</v>
      </c>
      <c r="K3" s="7">
        <f t="shared" si="0"/>
        <v>8640</v>
      </c>
      <c r="L3" t="str">
        <f t="shared" ref="L3:L11" si="4">_xlfn.CONCAT(B3,"-",C3)</f>
        <v>Fatima-HR</v>
      </c>
      <c r="M3" t="str">
        <f t="shared" ca="1" si="1"/>
        <v>Active Senior</v>
      </c>
    </row>
    <row r="4" spans="1:13" x14ac:dyDescent="0.3">
      <c r="A4" t="s">
        <v>50</v>
      </c>
      <c r="B4" t="s">
        <v>51</v>
      </c>
      <c r="C4" t="s">
        <v>52</v>
      </c>
      <c r="D4" s="7">
        <v>85000</v>
      </c>
      <c r="E4" s="2">
        <v>43840</v>
      </c>
      <c r="F4" s="2">
        <v>33212</v>
      </c>
      <c r="G4">
        <f t="shared" ca="1" si="2"/>
        <v>6</v>
      </c>
      <c r="H4">
        <f t="shared" ca="1" si="3"/>
        <v>35</v>
      </c>
      <c r="I4" t="str" cm="1">
        <f t="array" aca="1" ref="I4" ca="1">_xlfn.IFS(G4&gt;=8,"Veteran",G4&gt;=5,"Senior",G4&gt;=3,"Mid level",G4&lt;3,"Junior")</f>
        <v>Senior</v>
      </c>
      <c r="J4" t="str" cm="1">
        <f t="array" ref="J4">_xlfn.IFS(D4&gt;=85000,"A",D4&gt;=70000,"B",D4&gt;=60000,"C",D4&lt;60000,"D")</f>
        <v>A</v>
      </c>
      <c r="K4" s="7">
        <f t="shared" si="0"/>
        <v>10200</v>
      </c>
      <c r="L4" t="str">
        <f t="shared" si="4"/>
        <v>Karim-IT</v>
      </c>
      <c r="M4" t="str">
        <f t="shared" ca="1" si="1"/>
        <v>Active Senior</v>
      </c>
    </row>
    <row r="5" spans="1:13" x14ac:dyDescent="0.3">
      <c r="A5" t="s">
        <v>53</v>
      </c>
      <c r="B5" t="s">
        <v>54</v>
      </c>
      <c r="C5" t="s">
        <v>46</v>
      </c>
      <c r="D5" s="7">
        <v>58000</v>
      </c>
      <c r="E5" s="2">
        <v>44444</v>
      </c>
      <c r="F5" s="2">
        <v>33681</v>
      </c>
      <c r="G5">
        <f t="shared" ca="1" si="2"/>
        <v>4</v>
      </c>
      <c r="H5">
        <f t="shared" ca="1" si="3"/>
        <v>34</v>
      </c>
      <c r="I5" t="str" cm="1">
        <f t="array" aca="1" ref="I5" ca="1">_xlfn.IFS(G5&gt;=8,"Veteran",G5&gt;=5,"Senior",G5&gt;=3,"Mid level",G5&lt;3,"Junior")</f>
        <v>Mid level</v>
      </c>
      <c r="J5" t="str" cm="1">
        <f t="array" ref="J5">_xlfn.IFS(D5&gt;=85000,"A",D5&gt;=70000,"B",D5&gt;=60000,"C",D5&lt;60000,"D")</f>
        <v>D</v>
      </c>
      <c r="K5" s="7">
        <f t="shared" si="0"/>
        <v>3480</v>
      </c>
      <c r="L5" t="str">
        <f t="shared" si="4"/>
        <v>Nadia-Sales</v>
      </c>
      <c r="M5" t="str">
        <f t="shared" ca="1" si="1"/>
        <v>Active Junior</v>
      </c>
    </row>
    <row r="6" spans="1:13" x14ac:dyDescent="0.3">
      <c r="A6" t="s">
        <v>55</v>
      </c>
      <c r="B6" t="s">
        <v>56</v>
      </c>
      <c r="C6" t="s">
        <v>57</v>
      </c>
      <c r="D6" s="7">
        <v>62000</v>
      </c>
      <c r="E6" s="2">
        <v>43051</v>
      </c>
      <c r="F6" s="2">
        <v>31983</v>
      </c>
      <c r="G6">
        <f t="shared" ca="1" si="2"/>
        <v>8</v>
      </c>
      <c r="H6">
        <f t="shared" ca="1" si="3"/>
        <v>38</v>
      </c>
      <c r="I6" t="str" cm="1">
        <f t="array" aca="1" ref="I6" ca="1">_xlfn.IFS(G6&gt;=8,"Veteran",G6&gt;=5,"Senior",G6&gt;=3,"Mid level",G6&lt;3,"Junior")</f>
        <v>Veteran</v>
      </c>
      <c r="J6" t="str" cm="1">
        <f t="array" ref="J6">_xlfn.IFS(D6&gt;=85000,"A",D6&gt;=70000,"B",D6&gt;=60000,"C",D6&lt;60000,"D")</f>
        <v>C</v>
      </c>
      <c r="K6" s="7">
        <f t="shared" si="0"/>
        <v>3720</v>
      </c>
      <c r="L6" t="str">
        <f t="shared" si="4"/>
        <v>Sajib-Production</v>
      </c>
      <c r="M6" t="str">
        <f t="shared" ca="1" si="1"/>
        <v>Active Senior</v>
      </c>
    </row>
    <row r="7" spans="1:13" x14ac:dyDescent="0.3">
      <c r="A7" t="s">
        <v>58</v>
      </c>
      <c r="B7" t="s">
        <v>59</v>
      </c>
      <c r="C7" t="s">
        <v>49</v>
      </c>
      <c r="D7" s="7">
        <v>68000</v>
      </c>
      <c r="E7" s="2">
        <v>43889</v>
      </c>
      <c r="F7" s="2">
        <v>33572</v>
      </c>
      <c r="G7">
        <f t="shared" ca="1" si="2"/>
        <v>6</v>
      </c>
      <c r="H7">
        <f t="shared" ca="1" si="3"/>
        <v>34</v>
      </c>
      <c r="I7" t="str" cm="1">
        <f t="array" aca="1" ref="I7" ca="1">_xlfn.IFS(G7&gt;=8,"Veteran",G7&gt;=5,"Senior",G7&gt;=3,"Mid level",G7&lt;3,"Junior")</f>
        <v>Senior</v>
      </c>
      <c r="J7" t="str" cm="1">
        <f t="array" ref="J7">_xlfn.IFS(D7&gt;=85000,"A",D7&gt;=70000,"B",D7&gt;=60000,"C",D7&lt;60000,"D")</f>
        <v>C</v>
      </c>
      <c r="K7" s="7">
        <f t="shared" si="0"/>
        <v>4080</v>
      </c>
      <c r="L7" t="str">
        <f t="shared" si="4"/>
        <v>Mitu-HR</v>
      </c>
      <c r="M7" t="str">
        <f t="shared" ca="1" si="1"/>
        <v>Active Senior</v>
      </c>
    </row>
    <row r="8" spans="1:13" x14ac:dyDescent="0.3">
      <c r="A8" t="s">
        <v>60</v>
      </c>
      <c r="B8" t="s">
        <v>61</v>
      </c>
      <c r="C8" t="s">
        <v>52</v>
      </c>
      <c r="D8" s="7">
        <v>92000</v>
      </c>
      <c r="E8" s="2">
        <v>42570</v>
      </c>
      <c r="F8" s="2">
        <v>31517</v>
      </c>
      <c r="G8">
        <f t="shared" ca="1" si="2"/>
        <v>9</v>
      </c>
      <c r="H8">
        <f t="shared" ca="1" si="3"/>
        <v>40</v>
      </c>
      <c r="I8" t="str" cm="1">
        <f t="array" aca="1" ref="I8" ca="1">_xlfn.IFS(G8&gt;=8,"Veteran",G8&gt;=5,"Senior",G8&gt;=3,"Mid level",G8&lt;3,"Junior")</f>
        <v>Veteran</v>
      </c>
      <c r="J8" t="str" cm="1">
        <f t="array" ref="J8">_xlfn.IFS(D8&gt;=85000,"A",D8&gt;=70000,"B",D8&gt;=60000,"C",D8&lt;60000,"D")</f>
        <v>A</v>
      </c>
      <c r="K8" s="7">
        <f t="shared" si="0"/>
        <v>11040</v>
      </c>
      <c r="L8" t="str">
        <f t="shared" si="4"/>
        <v>Rafi-IT</v>
      </c>
      <c r="M8" t="str">
        <f t="shared" ca="1" si="1"/>
        <v>Active Senior</v>
      </c>
    </row>
    <row r="9" spans="1:13" x14ac:dyDescent="0.3">
      <c r="A9" t="s">
        <v>62</v>
      </c>
      <c r="B9" t="s">
        <v>63</v>
      </c>
      <c r="C9" t="s">
        <v>46</v>
      </c>
      <c r="D9" s="7">
        <v>75000</v>
      </c>
      <c r="E9" s="2">
        <v>43585</v>
      </c>
      <c r="F9" s="2">
        <v>32771</v>
      </c>
      <c r="G9">
        <f t="shared" ca="1" si="2"/>
        <v>7</v>
      </c>
      <c r="H9">
        <f t="shared" ca="1" si="3"/>
        <v>36</v>
      </c>
      <c r="I9" t="str" cm="1">
        <f t="array" aca="1" ref="I9" ca="1">_xlfn.IFS(G9&gt;=8,"Veteran",G9&gt;=5,"Senior",G9&gt;=3,"Mid level",G9&lt;3,"Junior")</f>
        <v>Senior</v>
      </c>
      <c r="J9" t="str" cm="1">
        <f t="array" ref="J9">_xlfn.IFS(D9&gt;=85000,"A",D9&gt;=70000,"B",D9&gt;=60000,"C",D9&lt;60000,"D")</f>
        <v>B</v>
      </c>
      <c r="K9" s="7">
        <f t="shared" si="0"/>
        <v>9000</v>
      </c>
      <c r="L9" t="str">
        <f t="shared" si="4"/>
        <v>Sonia-Sales</v>
      </c>
      <c r="M9" t="str">
        <f t="shared" ca="1" si="1"/>
        <v>Active Senior</v>
      </c>
    </row>
    <row r="10" spans="1:13" x14ac:dyDescent="0.3">
      <c r="A10" t="s">
        <v>64</v>
      </c>
      <c r="B10" t="s">
        <v>65</v>
      </c>
      <c r="C10" t="s">
        <v>57</v>
      </c>
      <c r="D10" s="7">
        <v>55000</v>
      </c>
      <c r="E10" s="2">
        <v>44795</v>
      </c>
      <c r="F10" s="2">
        <v>34379</v>
      </c>
      <c r="G10">
        <f t="shared" ca="1" si="2"/>
        <v>3</v>
      </c>
      <c r="H10">
        <f t="shared" ca="1" si="3"/>
        <v>32</v>
      </c>
      <c r="I10" t="str" cm="1">
        <f t="array" aca="1" ref="I10" ca="1">_xlfn.IFS(G10&gt;=8,"Veteran",G10&gt;=5,"Senior",G10&gt;=3,"Mid level",G10&lt;3,"Junior")</f>
        <v>Mid level</v>
      </c>
      <c r="J10" t="str" cm="1">
        <f t="array" ref="J10">_xlfn.IFS(D10&gt;=85000,"A",D10&gt;=70000,"B",D10&gt;=60000,"C",D10&lt;60000,"D")</f>
        <v>D</v>
      </c>
      <c r="K10" s="7">
        <f t="shared" si="0"/>
        <v>3300</v>
      </c>
      <c r="L10" t="str">
        <f t="shared" si="4"/>
        <v>Hasan-Production</v>
      </c>
      <c r="M10" t="str">
        <f t="shared" ca="1" si="1"/>
        <v>Active Junior</v>
      </c>
    </row>
    <row r="11" spans="1:13" x14ac:dyDescent="0.3">
      <c r="A11" t="s">
        <v>66</v>
      </c>
      <c r="B11" t="s">
        <v>67</v>
      </c>
      <c r="C11" t="s">
        <v>52</v>
      </c>
      <c r="D11" s="7">
        <v>88000</v>
      </c>
      <c r="E11" s="2">
        <v>43234</v>
      </c>
      <c r="F11" s="2">
        <v>33032</v>
      </c>
      <c r="G11">
        <f t="shared" ca="1" si="2"/>
        <v>7</v>
      </c>
      <c r="H11">
        <f t="shared" ca="1" si="3"/>
        <v>35</v>
      </c>
      <c r="I11" t="str" cm="1">
        <f t="array" aca="1" ref="I11" ca="1">_xlfn.IFS(G11&gt;=8,"Veteran",G11&gt;=5,"Senior",G11&gt;=3,"Mid level",G11&lt;3,"Junior")</f>
        <v>Senior</v>
      </c>
      <c r="J11" t="str" cm="1">
        <f t="array" ref="J11">_xlfn.IFS(D11&gt;=85000,"A",D11&gt;=70000,"B",D11&gt;=60000,"C",D11&lt;60000,"D")</f>
        <v>A</v>
      </c>
      <c r="K11" s="7">
        <f t="shared" si="0"/>
        <v>10560</v>
      </c>
      <c r="L11" t="str">
        <f t="shared" si="4"/>
        <v>Tania-IT</v>
      </c>
      <c r="M11" t="str">
        <f t="shared" ca="1" si="1"/>
        <v>Active Senior</v>
      </c>
    </row>
    <row r="15" spans="1:13" x14ac:dyDescent="0.3">
      <c r="K15">
        <f ca="1">COUNTIF(EmpTable[Status],"Active Senior")</f>
        <v>8</v>
      </c>
    </row>
  </sheetData>
  <conditionalFormatting sqref="D2:D11">
    <cfRule type="cellIs" dxfId="4" priority="2" operator="lessThan">
      <formula>60000</formula>
    </cfRule>
    <cfRule type="cellIs" dxfId="3" priority="3" operator="greaterThan">
      <formula>70000</formula>
    </cfRule>
  </conditionalFormatting>
  <conditionalFormatting sqref="K2:K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{60BE782A-E66D-40C4-AC1F-1639DA9AF643}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BE782A-E66D-40C4-AC1F-1639DA9AF6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K2:K11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1066-BC71-4018-ABF9-BFB9EEBA86C6}">
  <dimension ref="A1:B34"/>
  <sheetViews>
    <sheetView topLeftCell="A7" workbookViewId="0">
      <selection activeCell="B27" sqref="B27"/>
    </sheetView>
  </sheetViews>
  <sheetFormatPr defaultRowHeight="14.4" x14ac:dyDescent="0.3"/>
  <cols>
    <col min="1" max="1" width="21.6640625" customWidth="1"/>
    <col min="2" max="2" width="14.109375" customWidth="1"/>
  </cols>
  <sheetData>
    <row r="1" spans="1:2" x14ac:dyDescent="0.3">
      <c r="A1" s="11" t="s">
        <v>81</v>
      </c>
    </row>
    <row r="2" spans="1:2" x14ac:dyDescent="0.3">
      <c r="A2" t="s">
        <v>68</v>
      </c>
      <c r="B2" s="8">
        <f>SUM(SalesTable[Total Revenue])</f>
        <v>74200</v>
      </c>
    </row>
    <row r="3" spans="1:2" x14ac:dyDescent="0.3">
      <c r="A3" t="s">
        <v>82</v>
      </c>
      <c r="B3" s="8">
        <f>SUM( SalesTable[Tax Amount])</f>
        <v>11130</v>
      </c>
    </row>
    <row r="4" spans="1:2" x14ac:dyDescent="0.3">
      <c r="A4" t="s">
        <v>83</v>
      </c>
      <c r="B4" s="8">
        <f>SUM(SalesTable[Discounted Revenue])</f>
        <v>68264</v>
      </c>
    </row>
    <row r="5" spans="1:2" x14ac:dyDescent="0.3">
      <c r="A5" t="s">
        <v>84</v>
      </c>
      <c r="B5" s="4">
        <f>AVERAGE(SalesTable[Total Revenue])</f>
        <v>7420</v>
      </c>
    </row>
    <row r="6" spans="1:2" x14ac:dyDescent="0.3">
      <c r="A6" t="s">
        <v>85</v>
      </c>
      <c r="B6" s="4">
        <f>MAX(SalesTable[Total Revenue])</f>
        <v>12000</v>
      </c>
    </row>
    <row r="7" spans="1:2" x14ac:dyDescent="0.3">
      <c r="A7" t="s">
        <v>86</v>
      </c>
      <c r="B7" s="4">
        <f>MIN(SalesTable[Total Revenue])</f>
        <v>4200</v>
      </c>
    </row>
    <row r="8" spans="1:2" x14ac:dyDescent="0.3">
      <c r="A8" t="s">
        <v>87</v>
      </c>
      <c r="B8">
        <f>COUNTA(SalesTable[Order ID])</f>
        <v>10</v>
      </c>
    </row>
    <row r="9" spans="1:2" x14ac:dyDescent="0.3">
      <c r="A9" t="s">
        <v>88</v>
      </c>
      <c r="B9">
        <f>COUNTIF(SalesTable[Revenue Category],"high")</f>
        <v>0</v>
      </c>
    </row>
    <row r="10" spans="1:2" x14ac:dyDescent="0.3">
      <c r="A10" t="s">
        <v>89</v>
      </c>
      <c r="B10" s="4">
        <f>SUMIF(SalesTable[Month],1,SalesTable[Total Revenue])</f>
        <v>20000</v>
      </c>
    </row>
    <row r="11" spans="1:2" x14ac:dyDescent="0.3">
      <c r="A11" t="s">
        <v>90</v>
      </c>
      <c r="B11" s="4">
        <f>SUMIF(SalesTable[Month],2,SalesTable[Total Revenue])</f>
        <v>39300</v>
      </c>
    </row>
    <row r="12" spans="1:2" x14ac:dyDescent="0.3">
      <c r="A12" t="s">
        <v>91</v>
      </c>
      <c r="B12" s="4">
        <f>SUMIF(SalesTable[Month],3,SalesTable[Total Revenue])</f>
        <v>14900</v>
      </c>
    </row>
    <row r="13" spans="1:2" x14ac:dyDescent="0.3">
      <c r="A13" t="s">
        <v>92</v>
      </c>
      <c r="B13">
        <f>COUNTIF(SalesTable[Category],"General")</f>
        <v>2</v>
      </c>
    </row>
    <row r="14" spans="1:2" x14ac:dyDescent="0.3">
      <c r="A14" t="s">
        <v>93</v>
      </c>
      <c r="B14">
        <f>COUNTIF(SalesTable[Category],"Antibiotic")</f>
        <v>3</v>
      </c>
    </row>
    <row r="15" spans="1:2" x14ac:dyDescent="0.3">
      <c r="A15" t="s">
        <v>94</v>
      </c>
      <c r="B15">
        <f>COUNTIF(SalesTable[Category],"Diabetes")</f>
        <v>3</v>
      </c>
    </row>
    <row r="16" spans="1:2" x14ac:dyDescent="0.3">
      <c r="A16" t="s">
        <v>95</v>
      </c>
      <c r="B16">
        <f>COUNTIF(SalesTable[Category],"Cardiology")</f>
        <v>2</v>
      </c>
    </row>
    <row r="17" spans="1:2" x14ac:dyDescent="0.3">
      <c r="A17" t="s">
        <v>120</v>
      </c>
      <c r="B17" s="7">
        <f>SUMIF(SalesTable[Category],"Antibiotic",SalesTable[Total Revenue])</f>
        <v>19400</v>
      </c>
    </row>
    <row r="18" spans="1:2" x14ac:dyDescent="0.3">
      <c r="A18" t="s">
        <v>121</v>
      </c>
      <c r="B18" s="7">
        <f>SUMIF(SalesTable[Category],"Diabetes",SalesTable[Total Revenue])</f>
        <v>25800</v>
      </c>
    </row>
    <row r="19" spans="1:2" x14ac:dyDescent="0.3">
      <c r="A19" t="s">
        <v>122</v>
      </c>
      <c r="B19" s="7">
        <f>SUMIF(SalesTable[Category],"Cardiology",SalesTable[Total Revenue])</f>
        <v>19800</v>
      </c>
    </row>
    <row r="21" spans="1:2" x14ac:dyDescent="0.3">
      <c r="A21" s="11" t="s">
        <v>96</v>
      </c>
    </row>
    <row r="22" spans="1:2" x14ac:dyDescent="0.3">
      <c r="A22" t="s">
        <v>97</v>
      </c>
      <c r="B22">
        <f>COUNTA(EmpTable[ID])</f>
        <v>10</v>
      </c>
    </row>
    <row r="23" spans="1:2" x14ac:dyDescent="0.3">
      <c r="A23" t="s">
        <v>98</v>
      </c>
      <c r="B23" s="12">
        <f>SUM(EmpTable[Salary])</f>
        <v>720000</v>
      </c>
    </row>
    <row r="24" spans="1:2" x14ac:dyDescent="0.3">
      <c r="A24" t="s">
        <v>99</v>
      </c>
      <c r="B24" s="4">
        <f>AVERAGE(EmpTable[Salary])</f>
        <v>72000</v>
      </c>
    </row>
    <row r="25" spans="1:2" x14ac:dyDescent="0.3">
      <c r="A25" t="s">
        <v>100</v>
      </c>
      <c r="B25" s="4">
        <f>MAX(EmpTable[Salary])</f>
        <v>92000</v>
      </c>
    </row>
    <row r="26" spans="1:2" x14ac:dyDescent="0.3">
      <c r="A26" t="s">
        <v>101</v>
      </c>
      <c r="B26" s="4">
        <f>MIN(EmpTable[Salary])</f>
        <v>55000</v>
      </c>
    </row>
    <row r="27" spans="1:2" x14ac:dyDescent="0.3">
      <c r="A27" t="s">
        <v>102</v>
      </c>
      <c r="B27" s="4">
        <f>SUM(EmpTable[Bonus Amount])</f>
        <v>67920</v>
      </c>
    </row>
    <row r="28" spans="1:2" x14ac:dyDescent="0.3">
      <c r="A28" t="s">
        <v>103</v>
      </c>
      <c r="B28" s="13">
        <f>AVERAGEIF(EmpTable[Department],"IT",EmpTable[Salary])</f>
        <v>88333.333333333328</v>
      </c>
    </row>
    <row r="29" spans="1:2" x14ac:dyDescent="0.3">
      <c r="A29" t="s">
        <v>104</v>
      </c>
      <c r="B29" s="13">
        <f>AVERAGEIF(EmpTable[Department],"HR",EmpTable[Salary])</f>
        <v>70000</v>
      </c>
    </row>
    <row r="30" spans="1:2" x14ac:dyDescent="0.3">
      <c r="A30" t="s">
        <v>105</v>
      </c>
      <c r="B30" s="13">
        <f>AVERAGEIF(EmpTable[Department],"Production",EmpTable[Salary])</f>
        <v>58500</v>
      </c>
    </row>
    <row r="31" spans="1:2" x14ac:dyDescent="0.3">
      <c r="A31" t="s">
        <v>106</v>
      </c>
      <c r="B31">
        <f ca="1">COUNTIF(EmpTable[Experience Level],"Senior")</f>
        <v>6</v>
      </c>
    </row>
    <row r="32" spans="1:2" x14ac:dyDescent="0.3">
      <c r="A32" t="s">
        <v>107</v>
      </c>
      <c r="B32">
        <f ca="1">COUNTIF(EmpTable[Experience Level],"Junior")</f>
        <v>0</v>
      </c>
    </row>
    <row r="33" spans="1:2" x14ac:dyDescent="0.3">
      <c r="A33" t="s">
        <v>108</v>
      </c>
      <c r="B33">
        <f ca="1">AVERAGE(EmpTable[Age])</f>
        <v>36.1</v>
      </c>
    </row>
    <row r="34" spans="1:2" x14ac:dyDescent="0.3">
      <c r="A34" t="s">
        <v>109</v>
      </c>
      <c r="B34">
        <f ca="1">AVERAGE(EmpTable[Tenture(Year)])</f>
        <v>6.4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261C-A064-4354-81A5-92CF9578D55B}">
  <dimension ref="A1:F7"/>
  <sheetViews>
    <sheetView workbookViewId="0">
      <selection activeCell="B3" sqref="B3"/>
    </sheetView>
  </sheetViews>
  <sheetFormatPr defaultRowHeight="14.4" x14ac:dyDescent="0.3"/>
  <cols>
    <col min="1" max="1" width="15.21875" bestFit="1" customWidth="1"/>
    <col min="2" max="2" width="11.33203125" bestFit="1" customWidth="1"/>
    <col min="3" max="3" width="10.5546875" bestFit="1" customWidth="1"/>
    <col min="4" max="4" width="11.21875" bestFit="1" customWidth="1"/>
    <col min="5" max="5" width="12.109375" bestFit="1" customWidth="1"/>
    <col min="6" max="6" width="11.6640625" customWidth="1"/>
  </cols>
  <sheetData>
    <row r="1" spans="1:6" x14ac:dyDescent="0.3">
      <c r="A1" s="14" t="s">
        <v>113</v>
      </c>
    </row>
    <row r="2" spans="1:6" x14ac:dyDescent="0.3">
      <c r="A2" s="15" t="s">
        <v>110</v>
      </c>
      <c r="B2" s="15" t="s">
        <v>39</v>
      </c>
      <c r="C2" s="15" t="s">
        <v>40</v>
      </c>
      <c r="D2" s="15" t="s">
        <v>41</v>
      </c>
      <c r="E2" s="15" t="s">
        <v>111</v>
      </c>
      <c r="F2" s="15" t="s">
        <v>112</v>
      </c>
    </row>
    <row r="3" spans="1:6" x14ac:dyDescent="0.3">
      <c r="A3" t="s">
        <v>60</v>
      </c>
      <c r="B3" t="str">
        <f>_xlfn.XLOOKUP(A3,EmpTable[ID],EmpTable[Name],"Not found")</f>
        <v>Rafi</v>
      </c>
      <c r="C3" t="str">
        <f>_xlfn.XLOOKUP(A3,EmpTable[ID],EmpTable[Department])</f>
        <v>IT</v>
      </c>
      <c r="D3" s="4">
        <f>_xlfn.XLOOKUP(A3,EmpTable[ID],EmpTable[Salary])</f>
        <v>92000</v>
      </c>
      <c r="E3" t="str">
        <f ca="1">_xlfn.XLOOKUP(A3,EmpTable[ID],EmpTable[Experience Level])</f>
        <v>Veteran</v>
      </c>
      <c r="F3" s="4">
        <f>_xlfn.XLOOKUP(A3,EmpTable[ID],EmpTable[Bonus Amount])</f>
        <v>11040</v>
      </c>
    </row>
    <row r="5" spans="1:6" x14ac:dyDescent="0.3">
      <c r="A5" s="14" t="s">
        <v>114</v>
      </c>
    </row>
    <row r="6" spans="1:6" x14ac:dyDescent="0.3">
      <c r="A6" s="16" t="s">
        <v>110</v>
      </c>
      <c r="B6" s="16" t="s">
        <v>115</v>
      </c>
      <c r="C6" s="16" t="s">
        <v>10</v>
      </c>
      <c r="D6" s="16" t="s">
        <v>12</v>
      </c>
      <c r="E6" s="16" t="s">
        <v>68</v>
      </c>
    </row>
    <row r="7" spans="1:6" x14ac:dyDescent="0.3">
      <c r="A7" t="s">
        <v>19</v>
      </c>
      <c r="B7" t="str">
        <f>_xlfn.XLOOKUP(A7,SalesTable[Order ID],SalesTable[Medicine])</f>
        <v>Insulin</v>
      </c>
      <c r="C7" t="str">
        <f>_xlfn.XLOOKUP(A7,SalesTable[Order ID],SalesTable[Category])</f>
        <v>Diabetes</v>
      </c>
      <c r="D7" s="4">
        <f>_xlfn.XLOOKUP(A7,SalesTable[Order ID],SalesTable[Unit Price])</f>
        <v>120</v>
      </c>
      <c r="E7" s="4">
        <f>_xlfn.XLOOKUP(A7,SalesTable[Order ID],SalesTable[Total Revenue])</f>
        <v>12000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261E-3B1B-4154-9E9A-94F2F5BA9C55}">
  <dimension ref="A1:E11"/>
  <sheetViews>
    <sheetView workbookViewId="0">
      <selection activeCell="D12" sqref="D12"/>
    </sheetView>
  </sheetViews>
  <sheetFormatPr defaultRowHeight="14.4" x14ac:dyDescent="0.3"/>
  <sheetData>
    <row r="1" spans="1:5" x14ac:dyDescent="0.3">
      <c r="A1" s="1" t="s">
        <v>39</v>
      </c>
      <c r="B1" s="1" t="s">
        <v>118</v>
      </c>
      <c r="C1" s="1" t="s">
        <v>116</v>
      </c>
      <c r="D1" s="1" t="s">
        <v>119</v>
      </c>
      <c r="E1" s="1" t="s">
        <v>117</v>
      </c>
    </row>
    <row r="2" spans="1:5" x14ac:dyDescent="0.3">
      <c r="A2" t="str" cm="1">
        <f t="array" ref="A2:A11">PROPER(EmpTable[Name])</f>
        <v>Rahim</v>
      </c>
      <c r="B2" t="str" cm="1">
        <f t="array" ref="B2:B11">UPPER(EmpTable[Name])</f>
        <v>RAHIM</v>
      </c>
      <c r="C2" cm="1">
        <f t="array" aca="1" ref="C2:C11" ca="1">DATEDIF(EmpTable[Join Date],TODAY(),"Y")</f>
        <v>7</v>
      </c>
      <c r="D2" cm="1">
        <f t="array" aca="1" ref="D2:D11" ca="1">DATEDIF(EmpTable[Birth Date],TODAY(),"Y")</f>
        <v>37</v>
      </c>
      <c r="E2" t="str" cm="1">
        <f t="array" aca="1" ref="E2" ca="1">_xlfn.IFS(D2&gt;=40,"Senior",D2&gt;=35,"Middle",D2&lt;35,"Young")</f>
        <v>Middle</v>
      </c>
    </row>
    <row r="3" spans="1:5" x14ac:dyDescent="0.3">
      <c r="A3" t="str">
        <v>Fatima</v>
      </c>
      <c r="B3" t="str">
        <v>FATIMA</v>
      </c>
      <c r="C3">
        <f ca="1"/>
        <v>7</v>
      </c>
      <c r="D3">
        <f ca="1"/>
        <v>40</v>
      </c>
      <c r="E3" t="str" cm="1">
        <f t="array" aca="1" ref="E3" ca="1">_xlfn.IFS(D3&gt;=40,"Senior",D3&gt;=35,"Middle",D3&lt;35,"Young")</f>
        <v>Senior</v>
      </c>
    </row>
    <row r="4" spans="1:5" x14ac:dyDescent="0.3">
      <c r="A4" t="str">
        <v>Karim</v>
      </c>
      <c r="B4" t="str">
        <v>KARIM</v>
      </c>
      <c r="C4">
        <f ca="1"/>
        <v>6</v>
      </c>
      <c r="D4">
        <f ca="1"/>
        <v>35</v>
      </c>
      <c r="E4" t="str" cm="1">
        <f t="array" aca="1" ref="E4" ca="1">_xlfn.IFS(D4&gt;=40,"Senior",D4&gt;=35,"Middle",D4&lt;35,"Young")</f>
        <v>Middle</v>
      </c>
    </row>
    <row r="5" spans="1:5" x14ac:dyDescent="0.3">
      <c r="A5" t="str">
        <v>Nadia</v>
      </c>
      <c r="B5" t="str">
        <v>NADIA</v>
      </c>
      <c r="C5">
        <f ca="1"/>
        <v>4</v>
      </c>
      <c r="D5">
        <f ca="1"/>
        <v>34</v>
      </c>
      <c r="E5" t="str" cm="1">
        <f t="array" aca="1" ref="E5" ca="1">_xlfn.IFS(D5&gt;=40,"Senior",D5&gt;=35,"Middle",D5&lt;35,"Young")</f>
        <v>Young</v>
      </c>
    </row>
    <row r="6" spans="1:5" x14ac:dyDescent="0.3">
      <c r="A6" t="str">
        <v>Sajib</v>
      </c>
      <c r="B6" t="str">
        <v>SAJIB</v>
      </c>
      <c r="C6">
        <f ca="1"/>
        <v>8</v>
      </c>
      <c r="D6">
        <f ca="1"/>
        <v>38</v>
      </c>
      <c r="E6" t="str" cm="1">
        <f t="array" aca="1" ref="E6" ca="1">_xlfn.IFS(D6&gt;=40,"Senior",D6&gt;=35,"Middle",D6&lt;35,"Young")</f>
        <v>Middle</v>
      </c>
    </row>
    <row r="7" spans="1:5" x14ac:dyDescent="0.3">
      <c r="A7" t="str">
        <v>Mitu</v>
      </c>
      <c r="B7" t="str">
        <v>MITU</v>
      </c>
      <c r="C7">
        <f ca="1"/>
        <v>6</v>
      </c>
      <c r="D7">
        <f ca="1"/>
        <v>34</v>
      </c>
      <c r="E7" t="str" cm="1">
        <f t="array" aca="1" ref="E7" ca="1">_xlfn.IFS(D7&gt;=40,"Senior",D7&gt;=35,"Middle",D7&lt;35,"Young")</f>
        <v>Young</v>
      </c>
    </row>
    <row r="8" spans="1:5" x14ac:dyDescent="0.3">
      <c r="A8" t="str">
        <v>Rafi</v>
      </c>
      <c r="B8" t="str">
        <v>RAFI</v>
      </c>
      <c r="C8">
        <f ca="1"/>
        <v>9</v>
      </c>
      <c r="D8">
        <f ca="1"/>
        <v>40</v>
      </c>
      <c r="E8" t="str" cm="1">
        <f t="array" aca="1" ref="E8" ca="1">_xlfn.IFS(D8&gt;=40,"Senior",D8&gt;=35,"Middle",D8&lt;35,"Young")</f>
        <v>Senior</v>
      </c>
    </row>
    <row r="9" spans="1:5" x14ac:dyDescent="0.3">
      <c r="A9" t="str">
        <v>Sonia</v>
      </c>
      <c r="B9" t="str">
        <v>SONIA</v>
      </c>
      <c r="C9">
        <f ca="1"/>
        <v>7</v>
      </c>
      <c r="D9">
        <f ca="1"/>
        <v>36</v>
      </c>
      <c r="E9" t="str" cm="1">
        <f t="array" aca="1" ref="E9" ca="1">_xlfn.IFS(D9&gt;=40,"Senior",D9&gt;=35,"Middle",D9&lt;35,"Young")</f>
        <v>Middle</v>
      </c>
    </row>
    <row r="10" spans="1:5" x14ac:dyDescent="0.3">
      <c r="A10" t="str">
        <v>Hasan</v>
      </c>
      <c r="B10" t="str">
        <v>HASAN</v>
      </c>
      <c r="C10">
        <f ca="1"/>
        <v>3</v>
      </c>
      <c r="D10">
        <f ca="1"/>
        <v>32</v>
      </c>
      <c r="E10" t="str" cm="1">
        <f t="array" aca="1" ref="E10" ca="1">_xlfn.IFS(D10&gt;=40,"Senior",D10&gt;=35,"Middle",D10&lt;35,"Young")</f>
        <v>Young</v>
      </c>
    </row>
    <row r="11" spans="1:5" x14ac:dyDescent="0.3">
      <c r="A11" t="str">
        <v>Tania</v>
      </c>
      <c r="B11" t="str">
        <v>TANIA</v>
      </c>
      <c r="C11">
        <f ca="1"/>
        <v>7</v>
      </c>
      <c r="D11">
        <f ca="1"/>
        <v>35</v>
      </c>
      <c r="E11" t="str" cm="1">
        <f t="array" aca="1" ref="E11" ca="1">_xlfn.IFS(D11&gt;=40,"Senior",D11&gt;=35,"Middle",D11&lt;35,"Young")</f>
        <v>Middle</v>
      </c>
    </row>
  </sheetData>
  <conditionalFormatting sqref="E2:E11">
    <cfRule type="containsText" dxfId="2" priority="1" operator="containsText" text="Middle">
      <formula>NOT(ISERROR(SEARCH("Middle",E2)))</formula>
    </cfRule>
    <cfRule type="containsText" dxfId="1" priority="2" operator="containsText" text="Young">
      <formula>NOT(ISERROR(SEARCH("Young",E2)))</formula>
    </cfRule>
    <cfRule type="containsText" dxfId="0" priority="3" operator="containsText" text="Senior">
      <formula>NOT(ISERROR(SEARCH("Senior",E2)))</formula>
    </cfRule>
  </conditionalFormatting>
  <pageMargins left="0.7" right="0.7" top="0.75" bottom="0.75" header="0.3" footer="0.3"/>
  <pageSetup paperSize="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6B07-1AB6-43F9-BF95-C7B405E92F85}">
  <dimension ref="A1:B7"/>
  <sheetViews>
    <sheetView tabSelected="1" workbookViewId="0">
      <selection activeCell="A7" sqref="A7"/>
    </sheetView>
  </sheetViews>
  <sheetFormatPr defaultRowHeight="14.4" x14ac:dyDescent="0.3"/>
  <cols>
    <col min="1" max="1" width="1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0.15</v>
      </c>
    </row>
    <row r="3" spans="1:2" x14ac:dyDescent="0.3">
      <c r="A3" t="s">
        <v>3</v>
      </c>
      <c r="B3">
        <v>0.08</v>
      </c>
    </row>
    <row r="4" spans="1:2" x14ac:dyDescent="0.3">
      <c r="A4" t="s">
        <v>4</v>
      </c>
      <c r="B4">
        <v>0.12</v>
      </c>
    </row>
    <row r="5" spans="1:2" x14ac:dyDescent="0.3">
      <c r="A5" t="s">
        <v>5</v>
      </c>
      <c r="B5">
        <v>0.06</v>
      </c>
    </row>
    <row r="6" spans="1:2" x14ac:dyDescent="0.3">
      <c r="A6" t="s">
        <v>6</v>
      </c>
      <c r="B6">
        <v>70000</v>
      </c>
    </row>
    <row r="7" spans="1:2" x14ac:dyDescent="0.3">
      <c r="A7" t="s">
        <v>7</v>
      </c>
      <c r="B7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E948A0D1102C4784DD4282073F1AC6" ma:contentTypeVersion="4" ma:contentTypeDescription="Create a new document." ma:contentTypeScope="" ma:versionID="27730346cf55444fc4c6c6d3163d9d7e">
  <xsd:schema xmlns:xsd="http://www.w3.org/2001/XMLSchema" xmlns:xs="http://www.w3.org/2001/XMLSchema" xmlns:p="http://schemas.microsoft.com/office/2006/metadata/properties" xmlns:ns3="eb631929-02b3-45f1-a696-5a741bdb5f4b" targetNamespace="http://schemas.microsoft.com/office/2006/metadata/properties" ma:root="true" ma:fieldsID="e571d71802609f94b1dc68e7d4781d6f" ns3:_="">
    <xsd:import namespace="eb631929-02b3-45f1-a696-5a741bdb5f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1929-02b3-45f1-a696-5a741bdb5f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6B7997-D442-4353-B3B1-19288FFB93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31929-02b3-45f1-a696-5a741bdb5f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69E752-1FFF-4F83-A78D-9F5034A8E665}">
  <ds:schemaRefs>
    <ds:schemaRef ds:uri="eb631929-02b3-45f1-a696-5a741bdb5f4b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48069B0-201B-4D93-8536-91E3D97BCE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Sales Data</vt:lpstr>
      <vt:lpstr>Employee Data</vt:lpstr>
      <vt:lpstr>Analysis</vt:lpstr>
      <vt:lpstr>Lookup Panel</vt:lpstr>
      <vt:lpstr>HR Report</vt:lpstr>
      <vt:lpstr>Settings</vt:lpstr>
      <vt:lpstr>BonusHigh</vt:lpstr>
      <vt:lpstr>BonusLow</vt:lpstr>
      <vt:lpstr>DiscountRate</vt:lpstr>
      <vt:lpstr>HighSalary</vt:lpstr>
      <vt:lpstr>SeniorExp</vt:lpstr>
      <vt:lpstr>TaxRate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CS-D-93-23-125346</dc:creator>
  <cp:lastModifiedBy>CS-D-93-23-125346</cp:lastModifiedBy>
  <cp:lastPrinted>2026-05-02T09:52:15Z</cp:lastPrinted>
  <dcterms:created xsi:type="dcterms:W3CDTF">2026-05-02T05:44:43Z</dcterms:created>
  <dcterms:modified xsi:type="dcterms:W3CDTF">2026-05-02T16:39:43Z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0x01010068E948A0D1102C4784DD4282073F1AC6</vt:lpwstr>
  </property>
</Properties>
</file>